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R:\Pédagogie_Pilotage\Statut Etudiant\Rentrée 2025\Projets\DI\Bloc 1\"/>
    </mc:Choice>
  </mc:AlternateContent>
  <xr:revisionPtr revIDLastSave="0" documentId="13_ncr:1_{5FB8DD41-0EAC-4E14-A337-F76ED6BE6941}" xr6:coauthVersionLast="47" xr6:coauthVersionMax="47" xr10:uidLastSave="{00000000-0000-0000-0000-000000000000}"/>
  <bookViews>
    <workbookView xWindow="57480" yWindow="-11520" windowWidth="29040" windowHeight="15720" xr2:uid="{00000000-000D-0000-FFFF-FFFF00000000}"/>
  </bookViews>
  <sheets>
    <sheet name="Grille à poi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6" i="1" l="1"/>
  <c r="E19" i="1"/>
  <c r="E18" i="1"/>
  <c r="E17" i="1"/>
  <c r="E16" i="1"/>
  <c r="E15" i="1"/>
  <c r="E14" i="1"/>
  <c r="B141" i="1" l="1"/>
  <c r="B132" i="1"/>
  <c r="B123" i="1"/>
  <c r="B103" i="1"/>
  <c r="E148" i="1"/>
  <c r="D148" i="1"/>
  <c r="E139" i="1"/>
  <c r="D139" i="1"/>
  <c r="E130" i="1"/>
  <c r="D130" i="1"/>
  <c r="D120" i="1" s="1"/>
  <c r="B94" i="1"/>
  <c r="B85" i="1"/>
  <c r="E110" i="1"/>
  <c r="D110" i="1"/>
  <c r="E101" i="1"/>
  <c r="D101" i="1"/>
  <c r="E92" i="1"/>
  <c r="D92" i="1"/>
  <c r="E60" i="1"/>
  <c r="H60" i="1" s="1"/>
  <c r="H82" i="1" l="1"/>
  <c r="F82" i="1"/>
  <c r="D82" i="1"/>
  <c r="C82" i="1"/>
  <c r="H92" i="1"/>
  <c r="F14" i="1" s="1"/>
  <c r="H14" i="1" s="1"/>
  <c r="H110" i="1"/>
  <c r="F16" i="1" s="1"/>
  <c r="H16" i="1" s="1"/>
  <c r="H130" i="1"/>
  <c r="F17" i="1" s="1"/>
  <c r="H101" i="1"/>
  <c r="F15" i="1" s="1"/>
  <c r="H139" i="1"/>
  <c r="F18" i="1" s="1"/>
  <c r="H148" i="1"/>
  <c r="F19" i="1" s="1"/>
  <c r="H120" i="1"/>
  <c r="C120" i="1"/>
  <c r="F120" i="1"/>
  <c r="D60" i="1"/>
  <c r="H19" i="1" l="1"/>
  <c r="G19" i="1"/>
  <c r="H17" i="1"/>
  <c r="G17" i="1"/>
  <c r="H18" i="1"/>
  <c r="G18" i="1"/>
  <c r="H15" i="1"/>
  <c r="G15" i="1"/>
  <c r="C62" i="1"/>
  <c r="D62" i="1"/>
  <c r="G16" i="1"/>
  <c r="G14" i="1"/>
  <c r="H62" i="1"/>
  <c r="F62" i="1"/>
</calcChain>
</file>

<file path=xl/sharedStrings.xml><?xml version="1.0" encoding="utf-8"?>
<sst xmlns="http://schemas.openxmlformats.org/spreadsheetml/2006/main" count="127" uniqueCount="61">
  <si>
    <t>Référence Projet :</t>
  </si>
  <si>
    <t>INFETPP3</t>
  </si>
  <si>
    <t>Nom Projet :</t>
  </si>
  <si>
    <t>Sport manager : propulse ton équipe virtuelle</t>
  </si>
  <si>
    <t>Veuillez ne pas toucher aux formules de calculs présentes dans la grille</t>
  </si>
  <si>
    <t>Promotion :</t>
  </si>
  <si>
    <t>Date :</t>
  </si>
  <si>
    <t>Coef</t>
  </si>
  <si>
    <t>Nom-Prénom</t>
  </si>
  <si>
    <t>Note collective</t>
  </si>
  <si>
    <t>Note individuelle</t>
  </si>
  <si>
    <t>Note* finale</t>
  </si>
  <si>
    <t>Candidat 1</t>
  </si>
  <si>
    <t>Candidat 2</t>
  </si>
  <si>
    <t>Candidat 3</t>
  </si>
  <si>
    <t>Candidat 4</t>
  </si>
  <si>
    <t>Candidat 5</t>
  </si>
  <si>
    <t>Candidat 6</t>
  </si>
  <si>
    <t>*</t>
  </si>
  <si>
    <t>A : Acquis : les objectifs définis sont atteints</t>
  </si>
  <si>
    <t xml:space="preserve">B : Acquis : les objectifs définis sont partiellement atteints - écarts mineurs constatés </t>
  </si>
  <si>
    <t>C : Non acquis : les objectifs définis ne sont pas atteints - écarts majeurs constatés</t>
  </si>
  <si>
    <t>D : Non acquis : les objectifs définis ne sont pas atteints - écarts critiques constatés</t>
  </si>
  <si>
    <t>Signature</t>
  </si>
  <si>
    <t>Evaluateur 1</t>
  </si>
  <si>
    <t>Evaluateur 2</t>
  </si>
  <si>
    <t>Evaluateur 3</t>
  </si>
  <si>
    <t>Commentaires :</t>
  </si>
  <si>
    <t>NOTATION DU TRAVAIL COLLECTIF</t>
  </si>
  <si>
    <t>Thèmes</t>
  </si>
  <si>
    <t>Critères</t>
  </si>
  <si>
    <t>Points à attribuer</t>
  </si>
  <si>
    <t>Points obtenus</t>
  </si>
  <si>
    <t>Commentaires/Argumentations</t>
  </si>
  <si>
    <t>Compétences techniques</t>
  </si>
  <si>
    <t>Logigramme en adéquation avec le flux du processus</t>
  </si>
  <si>
    <t>MCD cohérent avec la version livrée</t>
  </si>
  <si>
    <t>Requetes SQL fonctionnelles</t>
  </si>
  <si>
    <t>CRUD des joueurs</t>
  </si>
  <si>
    <t>CRUD des équipes</t>
  </si>
  <si>
    <t xml:space="preserve">Gestion des postes (avec les compétences nécessaires) </t>
  </si>
  <si>
    <t>Gestion des joueurs (équipe, poste, compétences)</t>
  </si>
  <si>
    <t>Gestion du match (saisie manuelle du score, évolution des joueurs)</t>
  </si>
  <si>
    <t>Présence des blessures aléatoires</t>
  </si>
  <si>
    <t>Jeu de données cohérent</t>
  </si>
  <si>
    <t>Aucun bug présent</t>
  </si>
  <si>
    <t>Qualité de la prestation orale</t>
  </si>
  <si>
    <t xml:space="preserve">Rendre compte (point d'avancement) à mi parcours </t>
  </si>
  <si>
    <t>Retour d'expérience (réussite &amp; axe d'amélioration)</t>
  </si>
  <si>
    <t>Animation et prise en compte de l’auditoire</t>
  </si>
  <si>
    <t>Réponses aux questions argumentées et justifiées</t>
  </si>
  <si>
    <t>Total :</t>
  </si>
  <si>
    <t>Note (lettre) collective :</t>
  </si>
  <si>
    <t>Conversion lettre</t>
  </si>
  <si>
    <t>NOTATION INDIVIDUELLE</t>
  </si>
  <si>
    <t>Participation individuelle et efficacité</t>
  </si>
  <si>
    <t>Maîtrise des outils</t>
  </si>
  <si>
    <t>Réaction face à un imprévu</t>
  </si>
  <si>
    <t>Animation, prise en compte de l’auditoire</t>
  </si>
  <si>
    <t>Les réponses aux questions sont argumentées et justifiées</t>
  </si>
  <si>
    <t>Note (lettre) individuelle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</si>
</sst>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</font>
    <font>
      <sz val="4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/>
    <xf numFmtId="0" fontId="7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45" xfId="0" applyFont="1" applyBorder="1" applyAlignment="1">
      <alignment vertical="top"/>
    </xf>
    <xf numFmtId="0" fontId="2" fillId="0" borderId="46" xfId="0" applyFont="1" applyBorder="1" applyAlignment="1">
      <alignment vertical="top"/>
    </xf>
    <xf numFmtId="0" fontId="2" fillId="0" borderId="47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0" xfId="0" applyFont="1" applyAlignment="1">
      <alignment wrapText="1"/>
    </xf>
    <xf numFmtId="0" fontId="13" fillId="0" borderId="0" xfId="0" applyFont="1"/>
    <xf numFmtId="0" fontId="0" fillId="0" borderId="52" xfId="0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16" fillId="0" borderId="0" xfId="0" applyFont="1"/>
    <xf numFmtId="0" fontId="0" fillId="0" borderId="58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wrapText="1"/>
    </xf>
    <xf numFmtId="0" fontId="5" fillId="0" borderId="26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2" fillId="4" borderId="12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56" xfId="0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12" fillId="0" borderId="0" xfId="0" applyFont="1" applyAlignment="1">
      <alignment horizontal="right" vertical="center" wrapText="1"/>
    </xf>
    <xf numFmtId="0" fontId="12" fillId="0" borderId="48" xfId="0" applyFont="1" applyBorder="1" applyAlignment="1">
      <alignment horizontal="right" vertical="center" wrapText="1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12" fillId="4" borderId="12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48" xfId="0" applyFont="1" applyBorder="1" applyAlignment="1">
      <alignment horizontal="center" vertical="top"/>
    </xf>
    <xf numFmtId="0" fontId="2" fillId="0" borderId="44" xfId="0" applyFont="1" applyBorder="1" applyAlignment="1">
      <alignment horizontal="center" vertical="top"/>
    </xf>
    <xf numFmtId="0" fontId="2" fillId="0" borderId="49" xfId="0" applyFont="1" applyBorder="1" applyAlignment="1">
      <alignment horizontal="center" vertical="top"/>
    </xf>
    <xf numFmtId="0" fontId="2" fillId="0" borderId="50" xfId="0" applyFont="1" applyBorder="1" applyAlignment="1">
      <alignment horizontal="center" vertical="top"/>
    </xf>
    <xf numFmtId="0" fontId="2" fillId="0" borderId="51" xfId="0" applyFont="1" applyBorder="1" applyAlignment="1">
      <alignment horizontal="center" vertical="top"/>
    </xf>
    <xf numFmtId="0" fontId="8" fillId="0" borderId="3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52"/>
  <sheetViews>
    <sheetView showGridLines="0" tabSelected="1" zoomScale="110" zoomScaleNormal="110" zoomScalePageLayoutView="130" workbookViewId="0">
      <selection activeCell="E53" sqref="E53"/>
    </sheetView>
  </sheetViews>
  <sheetFormatPr defaultColWidth="11.42578125" defaultRowHeight="14.45"/>
  <cols>
    <col min="1" max="1" width="14.42578125" customWidth="1"/>
    <col min="2" max="2" width="11.42578125" customWidth="1"/>
    <col min="3" max="3" width="16.5703125" customWidth="1"/>
    <col min="4" max="5" width="8.5703125" customWidth="1"/>
    <col min="6" max="6" width="9.5703125" customWidth="1"/>
    <col min="7" max="7" width="8.5703125" customWidth="1"/>
    <col min="8" max="8" width="16.5703125" customWidth="1"/>
  </cols>
  <sheetData>
    <row r="2" spans="1:10" ht="10.35" customHeight="1"/>
    <row r="3" spans="1:10" ht="15" thickBot="1"/>
    <row r="4" spans="1:10" s="32" customFormat="1" ht="30.75" customHeight="1" thickBot="1">
      <c r="A4" s="125" t="s">
        <v>0</v>
      </c>
      <c r="B4" s="126"/>
      <c r="C4" s="129" t="s">
        <v>1</v>
      </c>
      <c r="D4" s="130"/>
      <c r="E4" s="130"/>
      <c r="F4" s="130"/>
      <c r="G4" s="131"/>
      <c r="H4" s="55" t="e">
        <f ca="1">RIGHT(MID(CELL("nomfichier",A1),FIND("[",CELL("nomfichier",A1))+1,FIND("]", CELL("nomfichier",A1))-FIND("[",CELL("nomfichier",A1))-1),(LEN(MID(CELL("nomfichier",A1),FIND("[",CELL("nomfichier",A1))+1,FIND("]", CELL("nomfichier",A1))-FIND("[",CELL("nomfichier",A1))-1))-SEARCH("-",MID(CELL("nomfichier",A1),FIND("[",CELL("nomfichier",A1))+1,FIND("]", CELL("nomfichier",A1))-FIND("[",CELL("nomfichier",A1))-1))))</f>
        <v>#VALUE!</v>
      </c>
    </row>
    <row r="5" spans="1:10" s="32" customFormat="1" ht="10.35" customHeight="1" thickBot="1">
      <c r="B5" s="33"/>
      <c r="C5" s="50"/>
      <c r="D5" s="50"/>
      <c r="E5" s="50"/>
      <c r="F5" s="50"/>
      <c r="G5" s="50"/>
      <c r="H5" s="56"/>
    </row>
    <row r="6" spans="1:10" ht="34.5" customHeight="1" thickBot="1">
      <c r="A6" s="125" t="s">
        <v>2</v>
      </c>
      <c r="B6" s="126"/>
      <c r="C6" s="129" t="s">
        <v>3</v>
      </c>
      <c r="D6" s="130"/>
      <c r="E6" s="130"/>
      <c r="F6" s="130"/>
      <c r="G6" s="131"/>
      <c r="H6" s="55" t="e">
        <f ca="1">RIGHT(H4,(LEN(H4)-SEARCH("-",H4)-1))</f>
        <v>#VALUE!</v>
      </c>
    </row>
    <row r="7" spans="1:10">
      <c r="J7" s="61" t="s">
        <v>4</v>
      </c>
    </row>
    <row r="8" spans="1:10" ht="15" thickBot="1"/>
    <row r="9" spans="1:10" ht="24" customHeight="1" thickBot="1">
      <c r="A9" s="49" t="s">
        <v>5</v>
      </c>
      <c r="B9" s="106"/>
      <c r="C9" s="107"/>
      <c r="E9" s="48" t="s">
        <v>6</v>
      </c>
      <c r="F9" s="106"/>
      <c r="G9" s="107"/>
    </row>
    <row r="10" spans="1:10" ht="15" thickBot="1"/>
    <row r="11" spans="1:10" ht="12.6" customHeight="1">
      <c r="E11" s="148" t="s">
        <v>7</v>
      </c>
      <c r="F11" s="149"/>
    </row>
    <row r="12" spans="1:10" ht="8.4499999999999993" customHeight="1" thickBot="1">
      <c r="E12" s="38">
        <v>1</v>
      </c>
      <c r="F12" s="39">
        <v>2</v>
      </c>
    </row>
    <row r="13" spans="1:10" ht="24.6" thickBot="1">
      <c r="A13" s="22"/>
      <c r="B13" s="89" t="s">
        <v>8</v>
      </c>
      <c r="C13" s="104"/>
      <c r="D13" s="105"/>
      <c r="E13" s="16" t="s">
        <v>9</v>
      </c>
      <c r="F13" s="17" t="s">
        <v>10</v>
      </c>
      <c r="H13" s="35" t="s">
        <v>11</v>
      </c>
    </row>
    <row r="14" spans="1:10" s="4" customFormat="1" ht="19.350000000000001" customHeight="1">
      <c r="A14" s="7" t="s">
        <v>12</v>
      </c>
      <c r="B14" s="90"/>
      <c r="C14" s="90"/>
      <c r="D14" s="90"/>
      <c r="E14" s="18" t="str">
        <f>IF(B14="","",H37)</f>
        <v/>
      </c>
      <c r="F14" s="19" t="str">
        <f>H92</f>
        <v/>
      </c>
      <c r="G14" s="34">
        <f>(E12*(IF(E14="A", 4, IF(E14="B", 3, IF(E14="C", 2, IF(E14="D",1, 0)))))+(F12*IF(F14="A", 4, IF(F14="B", 3, IF(F14="C", 2, IF(F14="D",1, 0))))))/(E12+F12)</f>
        <v>0</v>
      </c>
      <c r="H14" s="53" t="str">
        <f>IF(F14="",E14,IF(G14&gt;0,IF(G14&gt;=3.6, "A", IF(G14&gt;=2.6, "B", IF(G14&gt;=1.6, "C", "D"))),""))</f>
        <v/>
      </c>
    </row>
    <row r="15" spans="1:10" s="4" customFormat="1" ht="19.350000000000001" customHeight="1">
      <c r="A15" s="7" t="s">
        <v>13</v>
      </c>
      <c r="B15" s="90"/>
      <c r="C15" s="90"/>
      <c r="D15" s="90"/>
      <c r="E15" s="18" t="str">
        <f t="shared" ref="E15:E19" si="0">IF(B15="","",H38)</f>
        <v/>
      </c>
      <c r="F15" s="19" t="str">
        <f>H101</f>
        <v/>
      </c>
      <c r="G15" s="34">
        <f t="shared" ref="G15:G19" si="1">(IF(E15="A", 4, IF(E15="B", 3, IF(E15="C", 2, IF(E15="D",1, 0))))+(2*IF(F15="A", 4, IF(F15="B", 3, IF(F15="C", 2, IF(F15="D",1, 0))))))/3</f>
        <v>0</v>
      </c>
      <c r="H15" s="36" t="str">
        <f t="shared" ref="H15:H19" si="2">IF(F15="",E15,IF(G15&gt;0,IF(G15&gt;=3.6, "A", IF(G15&gt;=2.6, "B", IF(G15&gt;=1.6, "C", "D"))),""))</f>
        <v/>
      </c>
    </row>
    <row r="16" spans="1:10" s="4" customFormat="1" ht="19.350000000000001" customHeight="1">
      <c r="A16" s="7" t="s">
        <v>14</v>
      </c>
      <c r="B16" s="90"/>
      <c r="C16" s="90"/>
      <c r="D16" s="90"/>
      <c r="E16" s="18" t="str">
        <f t="shared" si="0"/>
        <v/>
      </c>
      <c r="F16" s="19" t="str">
        <f>H110</f>
        <v/>
      </c>
      <c r="G16" s="34">
        <f t="shared" si="1"/>
        <v>0</v>
      </c>
      <c r="H16" s="36" t="str">
        <f t="shared" si="2"/>
        <v/>
      </c>
    </row>
    <row r="17" spans="1:8" s="4" customFormat="1" ht="19.350000000000001" customHeight="1">
      <c r="A17" s="7" t="s">
        <v>15</v>
      </c>
      <c r="B17" s="90"/>
      <c r="C17" s="90"/>
      <c r="D17" s="90"/>
      <c r="E17" s="18" t="str">
        <f t="shared" si="0"/>
        <v/>
      </c>
      <c r="F17" s="19" t="str">
        <f>H130</f>
        <v/>
      </c>
      <c r="G17" s="34">
        <f t="shared" si="1"/>
        <v>0</v>
      </c>
      <c r="H17" s="36" t="str">
        <f t="shared" si="2"/>
        <v/>
      </c>
    </row>
    <row r="18" spans="1:8" s="4" customFormat="1" ht="19.350000000000001" customHeight="1">
      <c r="A18" s="7" t="s">
        <v>16</v>
      </c>
      <c r="B18" s="90"/>
      <c r="C18" s="90"/>
      <c r="D18" s="90"/>
      <c r="E18" s="18" t="str">
        <f t="shared" si="0"/>
        <v/>
      </c>
      <c r="F18" s="19" t="str">
        <f>H139</f>
        <v/>
      </c>
      <c r="G18" s="34">
        <f t="shared" si="1"/>
        <v>0</v>
      </c>
      <c r="H18" s="36" t="str">
        <f t="shared" si="2"/>
        <v/>
      </c>
    </row>
    <row r="19" spans="1:8" s="4" customFormat="1" ht="19.350000000000001" customHeight="1" thickBot="1">
      <c r="A19" s="8" t="s">
        <v>17</v>
      </c>
      <c r="B19" s="92"/>
      <c r="C19" s="92"/>
      <c r="D19" s="92"/>
      <c r="E19" s="20" t="str">
        <f t="shared" si="0"/>
        <v/>
      </c>
      <c r="F19" s="21" t="str">
        <f>H148</f>
        <v/>
      </c>
      <c r="G19" s="34">
        <f t="shared" si="1"/>
        <v>0</v>
      </c>
      <c r="H19" s="37" t="str">
        <f t="shared" si="2"/>
        <v/>
      </c>
    </row>
    <row r="20" spans="1:8" s="4" customFormat="1" ht="19.350000000000001" customHeight="1">
      <c r="A20" s="23"/>
      <c r="B20" s="24"/>
      <c r="C20" s="24"/>
      <c r="D20" s="24"/>
      <c r="E20" s="25"/>
      <c r="F20" s="25"/>
      <c r="G20" s="34"/>
      <c r="H20" s="25"/>
    </row>
    <row r="21" spans="1:8" s="4" customFormat="1" ht="15" customHeight="1">
      <c r="A21" s="52" t="s">
        <v>18</v>
      </c>
      <c r="B21" s="51" t="s">
        <v>19</v>
      </c>
      <c r="D21" s="24"/>
      <c r="E21" s="25"/>
      <c r="F21" s="25"/>
      <c r="G21" s="34"/>
      <c r="H21" s="25"/>
    </row>
    <row r="22" spans="1:8" s="4" customFormat="1" ht="15" customHeight="1">
      <c r="A22" s="23"/>
      <c r="B22" s="51" t="s">
        <v>20</v>
      </c>
      <c r="D22" s="24"/>
      <c r="E22" s="25"/>
      <c r="F22" s="25"/>
      <c r="G22" s="34"/>
      <c r="H22" s="25"/>
    </row>
    <row r="23" spans="1:8" s="4" customFormat="1" ht="15" customHeight="1">
      <c r="A23" s="23"/>
      <c r="B23" s="51" t="s">
        <v>21</v>
      </c>
      <c r="D23" s="24"/>
      <c r="E23" s="25"/>
      <c r="F23" s="25"/>
      <c r="G23" s="34"/>
      <c r="H23" s="25"/>
    </row>
    <row r="24" spans="1:8" s="4" customFormat="1" ht="15" customHeight="1">
      <c r="A24" s="23"/>
      <c r="B24" s="51" t="s">
        <v>22</v>
      </c>
      <c r="D24" s="24"/>
      <c r="E24" s="25"/>
      <c r="F24" s="25"/>
      <c r="G24" s="34"/>
      <c r="H24" s="25"/>
    </row>
    <row r="25" spans="1:8" s="4" customFormat="1" ht="19.350000000000001" customHeight="1" thickBot="1">
      <c r="A25" s="23"/>
      <c r="B25" s="24"/>
      <c r="C25" s="24"/>
      <c r="D25" s="24"/>
      <c r="E25" s="25"/>
      <c r="F25" s="25"/>
      <c r="G25" s="34"/>
      <c r="H25" s="25"/>
    </row>
    <row r="26" spans="1:8" ht="15" thickBot="1">
      <c r="A26" s="3"/>
      <c r="B26" s="127" t="s">
        <v>8</v>
      </c>
      <c r="C26" s="127"/>
      <c r="D26" s="128"/>
      <c r="E26" s="132" t="s">
        <v>23</v>
      </c>
      <c r="F26" s="133"/>
      <c r="G26" s="134"/>
    </row>
    <row r="27" spans="1:8" ht="37.35" customHeight="1">
      <c r="A27" s="6" t="s">
        <v>24</v>
      </c>
      <c r="B27" s="88"/>
      <c r="C27" s="88"/>
      <c r="D27" s="89"/>
      <c r="E27" s="135"/>
      <c r="F27" s="88"/>
      <c r="G27" s="136"/>
      <c r="H27" s="23"/>
    </row>
    <row r="28" spans="1:8" ht="37.35" customHeight="1">
      <c r="A28" s="7" t="s">
        <v>25</v>
      </c>
      <c r="B28" s="90"/>
      <c r="C28" s="90"/>
      <c r="D28" s="91"/>
      <c r="E28" s="137"/>
      <c r="F28" s="90"/>
      <c r="G28" s="138"/>
      <c r="H28" s="23"/>
    </row>
    <row r="29" spans="1:8" ht="37.35" customHeight="1" thickBot="1">
      <c r="A29" s="8" t="s">
        <v>26</v>
      </c>
      <c r="B29" s="92"/>
      <c r="C29" s="92"/>
      <c r="D29" s="93"/>
      <c r="E29" s="139"/>
      <c r="F29" s="92"/>
      <c r="G29" s="140"/>
      <c r="H29" s="23"/>
    </row>
    <row r="30" spans="1:8" ht="18" customHeight="1" thickBot="1">
      <c r="A30" s="23"/>
      <c r="B30" s="24"/>
      <c r="C30" s="24"/>
      <c r="D30" s="24"/>
      <c r="E30" s="23"/>
      <c r="F30" s="23"/>
      <c r="G30" s="23"/>
      <c r="H30" s="23"/>
    </row>
    <row r="31" spans="1:8" ht="21" customHeight="1">
      <c r="A31" s="43" t="s">
        <v>27</v>
      </c>
      <c r="B31" s="44"/>
      <c r="C31" s="44"/>
      <c r="D31" s="44"/>
      <c r="E31" s="44"/>
      <c r="F31" s="44"/>
      <c r="G31" s="44"/>
      <c r="H31" s="45"/>
    </row>
    <row r="32" spans="1:8" ht="17.100000000000001" customHeight="1">
      <c r="A32" s="141"/>
      <c r="B32" s="142"/>
      <c r="C32" s="142"/>
      <c r="D32" s="142"/>
      <c r="E32" s="142"/>
      <c r="F32" s="142"/>
      <c r="G32" s="142"/>
      <c r="H32" s="143"/>
    </row>
    <row r="33" spans="1:8" ht="17.100000000000001" customHeight="1">
      <c r="A33" s="144"/>
      <c r="B33" s="142"/>
      <c r="C33" s="142"/>
      <c r="D33" s="142"/>
      <c r="E33" s="142"/>
      <c r="F33" s="142"/>
      <c r="G33" s="142"/>
      <c r="H33" s="143"/>
    </row>
    <row r="34" spans="1:8" ht="17.100000000000001" customHeight="1">
      <c r="A34" s="144"/>
      <c r="B34" s="142"/>
      <c r="C34" s="142"/>
      <c r="D34" s="142"/>
      <c r="E34" s="142"/>
      <c r="F34" s="142"/>
      <c r="G34" s="142"/>
      <c r="H34" s="143"/>
    </row>
    <row r="35" spans="1:8" ht="17.100000000000001" customHeight="1">
      <c r="A35" s="144"/>
      <c r="B35" s="142"/>
      <c r="C35" s="142"/>
      <c r="D35" s="142"/>
      <c r="E35" s="142"/>
      <c r="F35" s="142"/>
      <c r="G35" s="142"/>
      <c r="H35" s="143"/>
    </row>
    <row r="36" spans="1:8" ht="17.100000000000001" customHeight="1">
      <c r="A36" s="144"/>
      <c r="B36" s="142"/>
      <c r="C36" s="142"/>
      <c r="D36" s="142"/>
      <c r="E36" s="142"/>
      <c r="F36" s="142"/>
      <c r="G36" s="142"/>
      <c r="H36" s="143"/>
    </row>
    <row r="37" spans="1:8" ht="17.100000000000001" customHeight="1" thickBot="1">
      <c r="A37" s="145"/>
      <c r="B37" s="146"/>
      <c r="C37" s="146"/>
      <c r="D37" s="146"/>
      <c r="E37" s="146"/>
      <c r="F37" s="146"/>
      <c r="G37" s="146"/>
      <c r="H37" s="147"/>
    </row>
    <row r="38" spans="1:8" ht="17.100000000000001" customHeight="1">
      <c r="A38" s="46"/>
      <c r="B38" s="46"/>
      <c r="C38" s="46"/>
      <c r="D38" s="46"/>
      <c r="E38" s="46"/>
      <c r="F38" s="46"/>
      <c r="G38" s="46"/>
      <c r="H38" s="46"/>
    </row>
    <row r="39" spans="1:8" ht="17.100000000000001" customHeight="1">
      <c r="A39" s="46"/>
      <c r="B39" s="46"/>
      <c r="C39" s="46"/>
      <c r="D39" s="46"/>
      <c r="E39" s="46"/>
      <c r="F39" s="46"/>
      <c r="G39" s="46"/>
      <c r="H39" s="46"/>
    </row>
    <row r="40" spans="1:8" ht="17.100000000000001" customHeight="1">
      <c r="A40" s="46"/>
      <c r="B40" s="46"/>
      <c r="C40" s="46"/>
      <c r="D40" s="46"/>
      <c r="E40" s="46"/>
      <c r="F40" s="46"/>
      <c r="G40" s="46"/>
      <c r="H40" s="46"/>
    </row>
    <row r="41" spans="1:8" s="4" customFormat="1" ht="12.6" customHeight="1" thickBot="1">
      <c r="A41" s="23"/>
      <c r="B41" s="24"/>
      <c r="C41" s="24"/>
      <c r="D41" s="24"/>
      <c r="E41" s="25"/>
      <c r="F41" s="25"/>
      <c r="G41" s="25"/>
    </row>
    <row r="42" spans="1:8" ht="15" thickBot="1">
      <c r="A42" s="99" t="s">
        <v>28</v>
      </c>
      <c r="B42" s="100"/>
      <c r="C42" s="100"/>
      <c r="D42" s="100"/>
      <c r="E42" s="100"/>
      <c r="F42" s="100"/>
      <c r="G42" s="100"/>
      <c r="H42" s="101"/>
    </row>
    <row r="43" spans="1:8" ht="15" thickBot="1"/>
    <row r="44" spans="1:8" ht="21.6" thickBot="1">
      <c r="A44" s="1" t="s">
        <v>29</v>
      </c>
      <c r="B44" s="84" t="s">
        <v>30</v>
      </c>
      <c r="C44" s="85"/>
      <c r="D44" s="30" t="s">
        <v>31</v>
      </c>
      <c r="E44" s="30" t="s">
        <v>32</v>
      </c>
      <c r="F44" s="86" t="s">
        <v>33</v>
      </c>
      <c r="G44" s="86"/>
      <c r="H44" s="87"/>
    </row>
    <row r="45" spans="1:8" ht="39.6" customHeight="1">
      <c r="A45" s="63" t="s">
        <v>34</v>
      </c>
      <c r="B45" s="123" t="s">
        <v>35</v>
      </c>
      <c r="C45" s="124"/>
      <c r="D45" s="47">
        <v>1</v>
      </c>
      <c r="E45" s="47"/>
      <c r="F45" s="121"/>
      <c r="G45" s="121"/>
      <c r="H45" s="122"/>
    </row>
    <row r="46" spans="1:8" ht="39.6" customHeight="1">
      <c r="A46" s="64"/>
      <c r="B46" s="108" t="s">
        <v>36</v>
      </c>
      <c r="C46" s="108"/>
      <c r="D46" s="18">
        <v>1</v>
      </c>
      <c r="E46" s="18"/>
      <c r="F46" s="115"/>
      <c r="G46" s="116"/>
      <c r="H46" s="117"/>
    </row>
    <row r="47" spans="1:8" ht="39.6" customHeight="1">
      <c r="A47" s="64"/>
      <c r="B47" s="108" t="s">
        <v>37</v>
      </c>
      <c r="C47" s="108"/>
      <c r="D47" s="18">
        <v>1</v>
      </c>
      <c r="E47" s="18"/>
      <c r="F47" s="115"/>
      <c r="G47" s="116"/>
      <c r="H47" s="117"/>
    </row>
    <row r="48" spans="1:8" ht="39.6" customHeight="1">
      <c r="A48" s="64"/>
      <c r="B48" s="108" t="s">
        <v>38</v>
      </c>
      <c r="C48" s="108"/>
      <c r="D48" s="18">
        <v>1</v>
      </c>
      <c r="E48" s="18"/>
      <c r="F48" s="115"/>
      <c r="G48" s="116"/>
      <c r="H48" s="117"/>
    </row>
    <row r="49" spans="1:8" ht="39.6" customHeight="1">
      <c r="A49" s="64"/>
      <c r="B49" s="108" t="s">
        <v>39</v>
      </c>
      <c r="C49" s="108"/>
      <c r="D49" s="18">
        <v>1</v>
      </c>
      <c r="E49" s="18"/>
      <c r="F49" s="115"/>
      <c r="G49" s="116"/>
      <c r="H49" s="117"/>
    </row>
    <row r="50" spans="1:8" ht="39.6" customHeight="1">
      <c r="A50" s="64"/>
      <c r="B50" s="108" t="s">
        <v>40</v>
      </c>
      <c r="C50" s="108"/>
      <c r="D50" s="18">
        <v>2</v>
      </c>
      <c r="E50" s="18"/>
      <c r="F50" s="115"/>
      <c r="G50" s="116"/>
      <c r="H50" s="117"/>
    </row>
    <row r="51" spans="1:8" ht="39.6" customHeight="1">
      <c r="A51" s="64"/>
      <c r="B51" s="108" t="s">
        <v>41</v>
      </c>
      <c r="C51" s="108"/>
      <c r="D51" s="18">
        <v>2</v>
      </c>
      <c r="E51" s="18"/>
      <c r="F51" s="115"/>
      <c r="G51" s="116"/>
      <c r="H51" s="117"/>
    </row>
    <row r="52" spans="1:8" ht="58.5" customHeight="1">
      <c r="A52" s="64"/>
      <c r="B52" s="108" t="s">
        <v>42</v>
      </c>
      <c r="C52" s="108"/>
      <c r="D52" s="18">
        <v>2</v>
      </c>
      <c r="E52" s="18"/>
      <c r="F52" s="115"/>
      <c r="G52" s="116"/>
      <c r="H52" s="117"/>
    </row>
    <row r="53" spans="1:8" ht="39.6" customHeight="1">
      <c r="A53" s="64"/>
      <c r="B53" s="108" t="s">
        <v>43</v>
      </c>
      <c r="C53" s="108"/>
      <c r="D53" s="18">
        <v>1</v>
      </c>
      <c r="E53" s="18"/>
      <c r="F53" s="115"/>
      <c r="G53" s="116"/>
      <c r="H53" s="117"/>
    </row>
    <row r="54" spans="1:8" ht="39.6" customHeight="1">
      <c r="A54" s="64"/>
      <c r="B54" s="108" t="s">
        <v>44</v>
      </c>
      <c r="C54" s="108"/>
      <c r="D54" s="18">
        <v>1</v>
      </c>
      <c r="E54" s="18"/>
      <c r="F54" s="115"/>
      <c r="G54" s="116"/>
      <c r="H54" s="117"/>
    </row>
    <row r="55" spans="1:8" ht="39.6" customHeight="1">
      <c r="A55" s="65"/>
      <c r="B55" s="113" t="s">
        <v>45</v>
      </c>
      <c r="C55" s="114"/>
      <c r="D55" s="18">
        <v>1</v>
      </c>
      <c r="E55" s="18"/>
      <c r="F55" s="115"/>
      <c r="G55" s="116"/>
      <c r="H55" s="117"/>
    </row>
    <row r="56" spans="1:8" ht="39.6" customHeight="1">
      <c r="A56" s="66" t="s">
        <v>46</v>
      </c>
      <c r="B56" s="111" t="s">
        <v>47</v>
      </c>
      <c r="C56" s="112"/>
      <c r="D56" s="10">
        <v>2</v>
      </c>
      <c r="E56" s="18"/>
      <c r="F56" s="115"/>
      <c r="G56" s="116"/>
      <c r="H56" s="117"/>
    </row>
    <row r="57" spans="1:8" ht="39.6" customHeight="1">
      <c r="A57" s="64"/>
      <c r="B57" s="111" t="s">
        <v>48</v>
      </c>
      <c r="C57" s="112"/>
      <c r="D57" s="10">
        <v>1</v>
      </c>
      <c r="E57" s="57"/>
      <c r="F57" s="58"/>
      <c r="G57" s="59"/>
      <c r="H57" s="60"/>
    </row>
    <row r="58" spans="1:8" ht="39.6" customHeight="1">
      <c r="A58" s="64"/>
      <c r="B58" s="108" t="s">
        <v>49</v>
      </c>
      <c r="C58" s="108"/>
      <c r="D58" s="10">
        <v>1</v>
      </c>
      <c r="E58" s="57"/>
      <c r="F58" s="58"/>
      <c r="G58" s="59"/>
      <c r="H58" s="60"/>
    </row>
    <row r="59" spans="1:8" ht="39.6" customHeight="1" thickBot="1">
      <c r="A59" s="67"/>
      <c r="B59" s="109" t="s">
        <v>50</v>
      </c>
      <c r="C59" s="110"/>
      <c r="D59" s="62">
        <v>2</v>
      </c>
      <c r="E59" s="20"/>
      <c r="F59" s="118"/>
      <c r="G59" s="119"/>
      <c r="H59" s="120"/>
    </row>
    <row r="60" spans="1:8" ht="15" thickBot="1">
      <c r="C60" s="12" t="s">
        <v>51</v>
      </c>
      <c r="D60" s="15">
        <f>IF(COUNTA(D45:D59)=0,"",SUM(D45:D59))</f>
        <v>20</v>
      </c>
      <c r="E60" s="14" t="str">
        <f>IF(COUNTA(E45:E59)=0,"",SUM(E45:E59))</f>
        <v/>
      </c>
      <c r="F60" s="13"/>
      <c r="G60" s="29" t="s">
        <v>52</v>
      </c>
      <c r="H60" s="54" t="str">
        <f>IF(E60="","",IF(E60&gt;=MROUND(16*D60/20,1),"A",IF(E60&gt;=MROUND(12*D60/20,1),"B",IF(E60&gt;=MROUND(8*D60/20,1),"C","D"))))</f>
        <v/>
      </c>
    </row>
    <row r="61" spans="1:8" ht="15" thickBot="1"/>
    <row r="62" spans="1:8" ht="29.45" thickBot="1">
      <c r="A62" s="94" t="s">
        <v>53</v>
      </c>
      <c r="B62" s="85"/>
      <c r="C62" s="2" t="str">
        <f>"De "&amp;MROUND(16*D60/20,1)&amp;" à "&amp; D60 &amp;""&amp; CHAR(10) &amp; " =  A"</f>
        <v>De 16 à 20
 =  A</v>
      </c>
      <c r="D62" s="86" t="str">
        <f>"De "&amp;MROUND(12*D60/20,1)&amp;" à "&amp; MROUND(16*D60/20,1)-0.01 &amp;""&amp;CHAR(10)&amp; " =  B"</f>
        <v>De 12 à 15,99
 =  B</v>
      </c>
      <c r="E62" s="86"/>
      <c r="F62" s="86" t="str">
        <f>"De "&amp;MROUND(8*D60/20,1)&amp;" à "&amp; MROUND(12*D60/20,1)-0.01 &amp;""&amp;CHAR(10)&amp; " =  C"</f>
        <v>De 8 à 11,99
 =  C</v>
      </c>
      <c r="G62" s="86"/>
      <c r="H62" s="5" t="str">
        <f>"De "&amp;0&amp;" à "&amp; MROUND(8*D60/20,1)-0.01 &amp;""&amp;CHAR(10)&amp; " =  D"</f>
        <v>De 0 à 7,99
 =  D</v>
      </c>
    </row>
    <row r="79" spans="1:8" ht="15" thickBot="1"/>
    <row r="80" spans="1:8" ht="15" thickBot="1">
      <c r="A80" s="99" t="s">
        <v>54</v>
      </c>
      <c r="B80" s="100"/>
      <c r="C80" s="100"/>
      <c r="D80" s="100"/>
      <c r="E80" s="100"/>
      <c r="F80" s="100"/>
      <c r="G80" s="100"/>
      <c r="H80" s="101"/>
    </row>
    <row r="81" spans="1:8" ht="15" thickBot="1"/>
    <row r="82" spans="1:8" ht="29.45" thickBot="1">
      <c r="A82" s="94" t="s">
        <v>53</v>
      </c>
      <c r="B82" s="85"/>
      <c r="C82" s="2" t="str">
        <f>IF(SUM(D87:D91)=0,"","De "&amp;MROUND(16*D92/20,1)&amp;" à "&amp; D92 &amp;""&amp; CHAR(10) &amp; " =  A")</f>
        <v>De 10 à 12
 =  A</v>
      </c>
      <c r="D82" s="86" t="str">
        <f>IF(SUM(D87:D91)=0,"","De "&amp;MROUND(12*D92/20,1)&amp;" à "&amp; MROUND(16*D92/20,1)-0.01 &amp;""&amp;CHAR(10)&amp; " =  B")</f>
        <v>De 7 à 9,99
 =  B</v>
      </c>
      <c r="E82" s="86"/>
      <c r="F82" s="86" t="str">
        <f>IF(SUM(D87:D91)=0,"","De "&amp;MROUND(8*D92/20,1)&amp;" à "&amp; MROUND(12*D92/20,1)-0.01 &amp;""&amp;CHAR(10)&amp; " =  C")</f>
        <v>De 5 à 6,99
 =  C</v>
      </c>
      <c r="G82" s="86"/>
      <c r="H82" s="5" t="str">
        <f>IF(SUM(D87:D91)=0,"","De "&amp;0&amp;" à "&amp; MROUND(8*D92/20,1)-0.01 &amp;""&amp;CHAR(10)&amp; " =  D")</f>
        <v>De 0 à 4,99
 =  D</v>
      </c>
    </row>
    <row r="84" spans="1:8" ht="15" thickBot="1"/>
    <row r="85" spans="1:8" ht="15" thickBot="1">
      <c r="A85" s="31" t="s">
        <v>12</v>
      </c>
      <c r="B85" s="78" t="str">
        <f>IF($B$14="","",$B$14)</f>
        <v/>
      </c>
      <c r="C85" s="78"/>
      <c r="D85" s="79"/>
    </row>
    <row r="86" spans="1:8" ht="21.6" thickBot="1">
      <c r="A86" s="1" t="s">
        <v>29</v>
      </c>
      <c r="B86" s="84" t="s">
        <v>30</v>
      </c>
      <c r="C86" s="85"/>
      <c r="D86" s="30" t="s">
        <v>31</v>
      </c>
      <c r="E86" s="30" t="s">
        <v>32</v>
      </c>
      <c r="F86" s="86" t="s">
        <v>33</v>
      </c>
      <c r="G86" s="86"/>
      <c r="H86" s="87"/>
    </row>
    <row r="87" spans="1:8" ht="20.100000000000001" customHeight="1">
      <c r="A87" s="63" t="s">
        <v>34</v>
      </c>
      <c r="B87" s="102" t="s">
        <v>55</v>
      </c>
      <c r="C87" s="103"/>
      <c r="D87" s="9">
        <v>2</v>
      </c>
      <c r="E87" s="9"/>
      <c r="F87" s="82"/>
      <c r="G87" s="82"/>
      <c r="H87" s="83"/>
    </row>
    <row r="88" spans="1:8" ht="20.100000000000001" customHeight="1">
      <c r="A88" s="64"/>
      <c r="B88" s="97" t="s">
        <v>56</v>
      </c>
      <c r="C88" s="98"/>
      <c r="D88" s="10">
        <v>3</v>
      </c>
      <c r="E88" s="10"/>
      <c r="F88" s="70"/>
      <c r="G88" s="71"/>
      <c r="H88" s="72"/>
    </row>
    <row r="89" spans="1:8" ht="20.100000000000001" customHeight="1">
      <c r="A89" s="65"/>
      <c r="B89" s="97" t="s">
        <v>57</v>
      </c>
      <c r="C89" s="98"/>
      <c r="D89" s="10">
        <v>4</v>
      </c>
      <c r="E89" s="10"/>
      <c r="F89" s="70"/>
      <c r="G89" s="71"/>
      <c r="H89" s="72"/>
    </row>
    <row r="90" spans="1:8" ht="27" customHeight="1">
      <c r="A90" s="66" t="s">
        <v>46</v>
      </c>
      <c r="B90" s="97" t="s">
        <v>58</v>
      </c>
      <c r="C90" s="98"/>
      <c r="D90" s="10">
        <v>2</v>
      </c>
      <c r="E90" s="10"/>
      <c r="F90" s="70"/>
      <c r="G90" s="71"/>
      <c r="H90" s="72"/>
    </row>
    <row r="91" spans="1:8" ht="27" customHeight="1" thickBot="1">
      <c r="A91" s="67"/>
      <c r="B91" s="95" t="s">
        <v>59</v>
      </c>
      <c r="C91" s="96"/>
      <c r="D91" s="11">
        <v>1</v>
      </c>
      <c r="E91" s="11"/>
      <c r="F91" s="75"/>
      <c r="G91" s="76"/>
      <c r="H91" s="77"/>
    </row>
    <row r="92" spans="1:8" ht="15" thickBot="1">
      <c r="C92" s="12" t="s">
        <v>51</v>
      </c>
      <c r="D92" s="15">
        <f>IF(COUNTA(D87:D91)=0,"",SUM(D87:D91))</f>
        <v>12</v>
      </c>
      <c r="E92" s="14" t="str">
        <f>IF(COUNTA(E87:E91)=0,"",SUM(E87:E91))</f>
        <v/>
      </c>
      <c r="F92" s="13"/>
      <c r="G92" s="29" t="s">
        <v>60</v>
      </c>
      <c r="H92" s="54" t="str">
        <f>IF(E92="","",IF(E92&gt;=MROUND(16*D92/20,1),"A",IF(E92&gt;=MROUND(12*D92/20,1),"B",IF(E92&gt;=MROUND(8*D92/20,1),"C","D"))))</f>
        <v/>
      </c>
    </row>
    <row r="93" spans="1:8" ht="15" thickBot="1">
      <c r="C93" s="12"/>
      <c r="D93" s="28"/>
      <c r="E93" s="27"/>
      <c r="F93" s="13"/>
      <c r="G93" s="26"/>
    </row>
    <row r="94" spans="1:8" ht="15" thickBot="1">
      <c r="A94" s="31" t="s">
        <v>13</v>
      </c>
      <c r="B94" s="78" t="str">
        <f>IF($B$15="","",$B$15)</f>
        <v/>
      </c>
      <c r="C94" s="78"/>
      <c r="D94" s="79"/>
    </row>
    <row r="95" spans="1:8" ht="21.6" thickBot="1">
      <c r="A95" s="1" t="s">
        <v>29</v>
      </c>
      <c r="B95" s="84" t="s">
        <v>30</v>
      </c>
      <c r="C95" s="85"/>
      <c r="D95" s="30" t="s">
        <v>31</v>
      </c>
      <c r="E95" s="30" t="s">
        <v>32</v>
      </c>
      <c r="F95" s="86" t="s">
        <v>33</v>
      </c>
      <c r="G95" s="86"/>
      <c r="H95" s="87"/>
    </row>
    <row r="96" spans="1:8" ht="20.100000000000001" customHeight="1">
      <c r="A96" s="63" t="s">
        <v>34</v>
      </c>
      <c r="B96" s="102" t="s">
        <v>55</v>
      </c>
      <c r="C96" s="103"/>
      <c r="D96" s="9">
        <v>2</v>
      </c>
      <c r="E96" s="9"/>
      <c r="F96" s="82"/>
      <c r="G96" s="82"/>
      <c r="H96" s="83"/>
    </row>
    <row r="97" spans="1:8" ht="20.100000000000001" customHeight="1">
      <c r="A97" s="64"/>
      <c r="B97" s="97" t="s">
        <v>56</v>
      </c>
      <c r="C97" s="98"/>
      <c r="D97" s="10">
        <v>3</v>
      </c>
      <c r="E97" s="10"/>
      <c r="F97" s="70"/>
      <c r="G97" s="71"/>
      <c r="H97" s="72"/>
    </row>
    <row r="98" spans="1:8" ht="20.100000000000001" customHeight="1">
      <c r="A98" s="65"/>
      <c r="B98" s="97" t="s">
        <v>57</v>
      </c>
      <c r="C98" s="98"/>
      <c r="D98" s="10">
        <v>4</v>
      </c>
      <c r="E98" s="10"/>
      <c r="F98" s="70"/>
      <c r="G98" s="71"/>
      <c r="H98" s="72"/>
    </row>
    <row r="99" spans="1:8" ht="30.6" customHeight="1">
      <c r="A99" s="66" t="s">
        <v>46</v>
      </c>
      <c r="B99" s="97" t="s">
        <v>58</v>
      </c>
      <c r="C99" s="98"/>
      <c r="D99" s="10">
        <v>2</v>
      </c>
      <c r="E99" s="10"/>
      <c r="F99" s="70"/>
      <c r="G99" s="71"/>
      <c r="H99" s="72"/>
    </row>
    <row r="100" spans="1:8" ht="30.6" customHeight="1" thickBot="1">
      <c r="A100" s="67"/>
      <c r="B100" s="95" t="s">
        <v>59</v>
      </c>
      <c r="C100" s="96"/>
      <c r="D100" s="11">
        <v>1</v>
      </c>
      <c r="E100" s="11"/>
      <c r="F100" s="75"/>
      <c r="G100" s="76"/>
      <c r="H100" s="77"/>
    </row>
    <row r="101" spans="1:8" ht="15" thickBot="1">
      <c r="C101" s="12" t="s">
        <v>51</v>
      </c>
      <c r="D101" s="15">
        <f>IF(COUNTA(D96:D100)=0,"",SUM(D96:D100))</f>
        <v>12</v>
      </c>
      <c r="E101" s="14" t="str">
        <f>IF(COUNTA(E96:E100)=0,"",SUM(E96:E100))</f>
        <v/>
      </c>
      <c r="F101" s="13"/>
      <c r="G101" s="29" t="s">
        <v>60</v>
      </c>
      <c r="H101" s="54" t="str">
        <f>IF(E101="","",IF(E101&gt;=MROUND(16*D101/20,1),"A",IF(E101&gt;=MROUND(12*D101/20,1),"B",IF(E101&gt;=MROUND(8*D101/20,1),"C","D"))))</f>
        <v/>
      </c>
    </row>
    <row r="102" spans="1:8" ht="15" thickBot="1">
      <c r="C102" s="12"/>
      <c r="D102" s="28"/>
      <c r="E102" s="27"/>
      <c r="F102" s="13"/>
      <c r="G102" s="26"/>
    </row>
    <row r="103" spans="1:8" ht="15" thickBot="1">
      <c r="A103" s="31" t="s">
        <v>14</v>
      </c>
      <c r="B103" s="78" t="str">
        <f>IF($B$16="","",$B$16)</f>
        <v/>
      </c>
      <c r="C103" s="78"/>
      <c r="D103" s="79"/>
    </row>
    <row r="104" spans="1:8" ht="21.6" thickBot="1">
      <c r="A104" s="1" t="s">
        <v>29</v>
      </c>
      <c r="B104" s="84" t="s">
        <v>30</v>
      </c>
      <c r="C104" s="85"/>
      <c r="D104" s="30" t="s">
        <v>31</v>
      </c>
      <c r="E104" s="30" t="s">
        <v>32</v>
      </c>
      <c r="F104" s="86" t="s">
        <v>33</v>
      </c>
      <c r="G104" s="86"/>
      <c r="H104" s="87"/>
    </row>
    <row r="105" spans="1:8" ht="20.100000000000001" customHeight="1">
      <c r="A105" s="63" t="s">
        <v>34</v>
      </c>
      <c r="B105" s="102" t="s">
        <v>55</v>
      </c>
      <c r="C105" s="103"/>
      <c r="D105" s="9">
        <v>2</v>
      </c>
      <c r="E105" s="9"/>
      <c r="F105" s="82"/>
      <c r="G105" s="82"/>
      <c r="H105" s="83"/>
    </row>
    <row r="106" spans="1:8" ht="20.100000000000001" customHeight="1">
      <c r="A106" s="64"/>
      <c r="B106" s="97" t="s">
        <v>56</v>
      </c>
      <c r="C106" s="98"/>
      <c r="D106" s="10">
        <v>3</v>
      </c>
      <c r="E106" s="10"/>
      <c r="F106" s="70"/>
      <c r="G106" s="71"/>
      <c r="H106" s="72"/>
    </row>
    <row r="107" spans="1:8" ht="20.100000000000001" customHeight="1">
      <c r="A107" s="65"/>
      <c r="B107" s="97" t="s">
        <v>57</v>
      </c>
      <c r="C107" s="98"/>
      <c r="D107" s="10">
        <v>4</v>
      </c>
      <c r="E107" s="10"/>
      <c r="F107" s="70"/>
      <c r="G107" s="71"/>
      <c r="H107" s="72"/>
    </row>
    <row r="108" spans="1:8" ht="28.5" customHeight="1">
      <c r="A108" s="66" t="s">
        <v>46</v>
      </c>
      <c r="B108" s="97" t="s">
        <v>58</v>
      </c>
      <c r="C108" s="98"/>
      <c r="D108" s="10">
        <v>2</v>
      </c>
      <c r="E108" s="10"/>
      <c r="F108" s="70"/>
      <c r="G108" s="71"/>
      <c r="H108" s="72"/>
    </row>
    <row r="109" spans="1:8" ht="32.1" customHeight="1" thickBot="1">
      <c r="A109" s="67"/>
      <c r="B109" s="95" t="s">
        <v>59</v>
      </c>
      <c r="C109" s="96"/>
      <c r="D109" s="11">
        <v>1</v>
      </c>
      <c r="E109" s="11"/>
      <c r="F109" s="75"/>
      <c r="G109" s="76"/>
      <c r="H109" s="77"/>
    </row>
    <row r="110" spans="1:8" ht="15" thickBot="1">
      <c r="C110" s="12" t="s">
        <v>51</v>
      </c>
      <c r="D110" s="15">
        <f>IF(COUNTA(D105:D109)=0,"",SUM(D105:D109))</f>
        <v>12</v>
      </c>
      <c r="E110" s="14" t="str">
        <f>IF(COUNTA(E105:E109)=0,"",SUM(E105:E109))</f>
        <v/>
      </c>
      <c r="F110" s="13"/>
      <c r="G110" s="29" t="s">
        <v>60</v>
      </c>
      <c r="H110" s="54" t="str">
        <f>IF(E110="","",IF(E110&gt;=MROUND(16*D110/20,1),"A",IF(E110&gt;=MROUND(12*D110/20,1),"B",IF(E110&gt;=MROUND(8*D110/20,1),"C","D"))))</f>
        <v/>
      </c>
    </row>
    <row r="111" spans="1:8">
      <c r="C111" s="12"/>
      <c r="D111" s="28"/>
      <c r="E111" s="27"/>
      <c r="F111" s="13"/>
      <c r="G111" s="26"/>
    </row>
    <row r="112" spans="1:8">
      <c r="C112" s="12"/>
      <c r="D112" s="28"/>
      <c r="E112" s="27"/>
      <c r="F112" s="13"/>
      <c r="G112" s="26"/>
    </row>
    <row r="113" spans="1:8">
      <c r="C113" s="12"/>
      <c r="D113" s="28"/>
      <c r="E113" s="27"/>
      <c r="F113" s="13"/>
      <c r="G113" s="26"/>
    </row>
    <row r="114" spans="1:8">
      <c r="C114" s="12"/>
      <c r="D114" s="28"/>
      <c r="E114" s="27"/>
      <c r="F114" s="13"/>
      <c r="G114" s="26"/>
    </row>
    <row r="115" spans="1:8">
      <c r="C115" s="12"/>
      <c r="D115" s="28"/>
      <c r="E115" s="27"/>
      <c r="F115" s="13"/>
      <c r="G115" s="26"/>
    </row>
    <row r="116" spans="1:8">
      <c r="C116" s="12"/>
      <c r="D116" s="28"/>
      <c r="E116" s="27"/>
      <c r="F116" s="13"/>
      <c r="G116" s="26"/>
    </row>
    <row r="117" spans="1:8">
      <c r="C117" s="12"/>
      <c r="D117" s="28"/>
      <c r="E117" s="27"/>
      <c r="F117" s="13"/>
      <c r="G117" s="26"/>
    </row>
    <row r="118" spans="1:8">
      <c r="C118" s="12"/>
      <c r="D118" s="28"/>
      <c r="E118" s="27"/>
      <c r="F118" s="13"/>
      <c r="G118" s="26"/>
    </row>
    <row r="119" spans="1:8" ht="15" thickBot="1"/>
    <row r="120" spans="1:8" ht="29.45" thickBot="1">
      <c r="A120" s="94" t="s">
        <v>53</v>
      </c>
      <c r="B120" s="85"/>
      <c r="C120" s="2" t="str">
        <f>"De "&amp;MROUND(15.99*D130/20,1)&amp;" à "&amp; D130 &amp;""&amp; CHAR(10) &amp; " =  A"</f>
        <v>De 10 à 12
 =  A</v>
      </c>
      <c r="D120" s="86" t="str">
        <f>"De "&amp;MROUND(12*D130/20,1)&amp;" à "&amp; MROUND(15.99*D130/20,1)-0.01 &amp;""&amp;CHAR(10)&amp; " =  B"</f>
        <v>De 7 à 9,99
 =  B</v>
      </c>
      <c r="E120" s="86"/>
      <c r="F120" s="86" t="str">
        <f>"De "&amp;MROUND(8*D130/20,1)&amp;" à "&amp; MROUND(12*D130/20,1)-0.01 &amp;""&amp;CHAR(10)&amp; " =  C"</f>
        <v>De 5 à 6,99
 =  C</v>
      </c>
      <c r="G120" s="86"/>
      <c r="H120" s="5" t="str">
        <f>"De "&amp;0&amp;" à "&amp; MROUND(8*D130/20,1)-0.01 &amp;""&amp;CHAR(10)&amp; " =  D"</f>
        <v>De 0 à 4,99
 =  D</v>
      </c>
    </row>
    <row r="122" spans="1:8" ht="15" thickBot="1"/>
    <row r="123" spans="1:8" ht="15" thickBot="1">
      <c r="A123" s="31" t="s">
        <v>15</v>
      </c>
      <c r="B123" s="78" t="str">
        <f>IF($B$17="","",$B$17)</f>
        <v/>
      </c>
      <c r="C123" s="78"/>
      <c r="D123" s="79"/>
    </row>
    <row r="124" spans="1:8" ht="21.6" thickBot="1">
      <c r="A124" s="1" t="s">
        <v>29</v>
      </c>
      <c r="B124" s="84" t="s">
        <v>30</v>
      </c>
      <c r="C124" s="85"/>
      <c r="D124" s="30" t="s">
        <v>31</v>
      </c>
      <c r="E124" s="30" t="s">
        <v>32</v>
      </c>
      <c r="F124" s="86" t="s">
        <v>33</v>
      </c>
      <c r="G124" s="86"/>
      <c r="H124" s="87"/>
    </row>
    <row r="125" spans="1:8" ht="20.100000000000001" customHeight="1">
      <c r="A125" s="40"/>
      <c r="B125" s="80"/>
      <c r="C125" s="81"/>
      <c r="D125" s="9">
        <v>2</v>
      </c>
      <c r="E125" s="9"/>
      <c r="F125" s="82"/>
      <c r="G125" s="82"/>
      <c r="H125" s="83"/>
    </row>
    <row r="126" spans="1:8" ht="20.100000000000001" customHeight="1">
      <c r="A126" s="41"/>
      <c r="B126" s="68"/>
      <c r="C126" s="69"/>
      <c r="D126" s="10">
        <v>3</v>
      </c>
      <c r="E126" s="10"/>
      <c r="F126" s="70"/>
      <c r="G126" s="71"/>
      <c r="H126" s="72"/>
    </row>
    <row r="127" spans="1:8" ht="20.100000000000001" customHeight="1">
      <c r="A127" s="41"/>
      <c r="B127" s="68"/>
      <c r="C127" s="69"/>
      <c r="D127" s="10">
        <v>4</v>
      </c>
      <c r="E127" s="10"/>
      <c r="F127" s="70"/>
      <c r="G127" s="71"/>
      <c r="H127" s="72"/>
    </row>
    <row r="128" spans="1:8" ht="20.100000000000001" customHeight="1">
      <c r="A128" s="41"/>
      <c r="B128" s="68"/>
      <c r="C128" s="69"/>
      <c r="D128" s="10">
        <v>2</v>
      </c>
      <c r="E128" s="10"/>
      <c r="F128" s="70"/>
      <c r="G128" s="71"/>
      <c r="H128" s="72"/>
    </row>
    <row r="129" spans="1:8" ht="20.100000000000001" customHeight="1" thickBot="1">
      <c r="A129" s="42"/>
      <c r="B129" s="73"/>
      <c r="C129" s="74"/>
      <c r="D129" s="11">
        <v>1</v>
      </c>
      <c r="E129" s="11"/>
      <c r="F129" s="75"/>
      <c r="G129" s="76"/>
      <c r="H129" s="77"/>
    </row>
    <row r="130" spans="1:8" ht="15" thickBot="1">
      <c r="C130" s="12" t="s">
        <v>51</v>
      </c>
      <c r="D130" s="15">
        <f>IF(COUNTA(D125:D129)=0,"",SUM(D125:D129))</f>
        <v>12</v>
      </c>
      <c r="E130" s="14" t="str">
        <f>IF(COUNTA(E125:E129)=0,"",SUM(E125:E129))</f>
        <v/>
      </c>
      <c r="F130" s="13"/>
      <c r="G130" s="29" t="s">
        <v>60</v>
      </c>
      <c r="H130" s="54" t="str">
        <f>IF(E130="","",IF(E130&gt;=MROUND(16*D130/20,1),"A",IF(E130&gt;=MROUND(12*D130/20,1),"B",IF(E130&gt;=MROUND(8*D130/20,1),"C","D"))))</f>
        <v/>
      </c>
    </row>
    <row r="131" spans="1:8" ht="15" thickBot="1">
      <c r="C131" s="12"/>
      <c r="D131" s="28"/>
      <c r="E131" s="27"/>
      <c r="F131" s="13"/>
      <c r="G131" s="26"/>
    </row>
    <row r="132" spans="1:8" ht="15" thickBot="1">
      <c r="A132" s="31" t="s">
        <v>16</v>
      </c>
      <c r="B132" s="78" t="str">
        <f>IF($B$18="","",$B$18)</f>
        <v/>
      </c>
      <c r="C132" s="78"/>
      <c r="D132" s="79"/>
    </row>
    <row r="133" spans="1:8" ht="21.6" thickBot="1">
      <c r="A133" s="1" t="s">
        <v>29</v>
      </c>
      <c r="B133" s="84" t="s">
        <v>30</v>
      </c>
      <c r="C133" s="85"/>
      <c r="D133" s="30" t="s">
        <v>31</v>
      </c>
      <c r="E133" s="30" t="s">
        <v>32</v>
      </c>
      <c r="F133" s="86" t="s">
        <v>33</v>
      </c>
      <c r="G133" s="86"/>
      <c r="H133" s="87"/>
    </row>
    <row r="134" spans="1:8" ht="20.100000000000001" customHeight="1">
      <c r="A134" s="40"/>
      <c r="B134" s="80"/>
      <c r="C134" s="81"/>
      <c r="D134" s="9">
        <v>2</v>
      </c>
      <c r="E134" s="9"/>
      <c r="F134" s="82"/>
      <c r="G134" s="82"/>
      <c r="H134" s="83"/>
    </row>
    <row r="135" spans="1:8" ht="20.100000000000001" customHeight="1">
      <c r="A135" s="41"/>
      <c r="B135" s="68"/>
      <c r="C135" s="69"/>
      <c r="D135" s="10">
        <v>3</v>
      </c>
      <c r="E135" s="10"/>
      <c r="F135" s="70"/>
      <c r="G135" s="71"/>
      <c r="H135" s="72"/>
    </row>
    <row r="136" spans="1:8" ht="20.100000000000001" customHeight="1">
      <c r="A136" s="41"/>
      <c r="B136" s="68"/>
      <c r="C136" s="69"/>
      <c r="D136" s="10">
        <v>4</v>
      </c>
      <c r="E136" s="10"/>
      <c r="F136" s="70"/>
      <c r="G136" s="71"/>
      <c r="H136" s="72"/>
    </row>
    <row r="137" spans="1:8" ht="20.100000000000001" customHeight="1">
      <c r="A137" s="41"/>
      <c r="B137" s="68"/>
      <c r="C137" s="69"/>
      <c r="D137" s="10">
        <v>2</v>
      </c>
      <c r="E137" s="10"/>
      <c r="F137" s="70"/>
      <c r="G137" s="71"/>
      <c r="H137" s="72"/>
    </row>
    <row r="138" spans="1:8" ht="20.100000000000001" customHeight="1" thickBot="1">
      <c r="A138" s="42"/>
      <c r="B138" s="73"/>
      <c r="C138" s="74"/>
      <c r="D138" s="11">
        <v>1</v>
      </c>
      <c r="E138" s="11"/>
      <c r="F138" s="75"/>
      <c r="G138" s="76"/>
      <c r="H138" s="77"/>
    </row>
    <row r="139" spans="1:8" ht="15" thickBot="1">
      <c r="C139" s="12" t="s">
        <v>51</v>
      </c>
      <c r="D139" s="15">
        <f>IF(COUNTA(D134:D138)=0,"",SUM(D134:D138))</f>
        <v>12</v>
      </c>
      <c r="E139" s="14" t="str">
        <f>IF(COUNTA(E134:E138)=0,"",SUM(E134:E138))</f>
        <v/>
      </c>
      <c r="F139" s="13"/>
      <c r="G139" s="29" t="s">
        <v>60</v>
      </c>
      <c r="H139" s="54" t="str">
        <f>IF(E139="","",IF(E139&gt;=MROUND(16*D139/20,1),"A",IF(E139&gt;=MROUND(12*D139/20,1),"B",IF(E139&gt;=MROUND(8*D139/20,1),"C","D"))))</f>
        <v/>
      </c>
    </row>
    <row r="140" spans="1:8" ht="15" thickBot="1">
      <c r="C140" s="12"/>
      <c r="D140" s="28"/>
      <c r="E140" s="27"/>
      <c r="F140" s="13"/>
      <c r="G140" s="26"/>
    </row>
    <row r="141" spans="1:8" ht="15" thickBot="1">
      <c r="A141" s="31" t="s">
        <v>17</v>
      </c>
      <c r="B141" s="78" t="str">
        <f>IF($B$19="","",$B$19)</f>
        <v/>
      </c>
      <c r="C141" s="78"/>
      <c r="D141" s="79"/>
    </row>
    <row r="142" spans="1:8" ht="21.6" thickBot="1">
      <c r="A142" s="1" t="s">
        <v>29</v>
      </c>
      <c r="B142" s="84" t="s">
        <v>30</v>
      </c>
      <c r="C142" s="85"/>
      <c r="D142" s="30" t="s">
        <v>31</v>
      </c>
      <c r="E142" s="30" t="s">
        <v>32</v>
      </c>
      <c r="F142" s="86" t="s">
        <v>33</v>
      </c>
      <c r="G142" s="86"/>
      <c r="H142" s="87"/>
    </row>
    <row r="143" spans="1:8" ht="20.100000000000001" customHeight="1">
      <c r="A143" s="40"/>
      <c r="B143" s="80"/>
      <c r="C143" s="81"/>
      <c r="D143" s="9">
        <v>2</v>
      </c>
      <c r="E143" s="9"/>
      <c r="F143" s="82"/>
      <c r="G143" s="82"/>
      <c r="H143" s="83"/>
    </row>
    <row r="144" spans="1:8" ht="20.100000000000001" customHeight="1">
      <c r="A144" s="41"/>
      <c r="B144" s="68"/>
      <c r="C144" s="69"/>
      <c r="D144" s="10">
        <v>3</v>
      </c>
      <c r="E144" s="10"/>
      <c r="F144" s="70"/>
      <c r="G144" s="71"/>
      <c r="H144" s="72"/>
    </row>
    <row r="145" spans="1:8" ht="20.100000000000001" customHeight="1">
      <c r="A145" s="41"/>
      <c r="B145" s="68"/>
      <c r="C145" s="69"/>
      <c r="D145" s="10">
        <v>4</v>
      </c>
      <c r="E145" s="10"/>
      <c r="F145" s="70"/>
      <c r="G145" s="71"/>
      <c r="H145" s="72"/>
    </row>
    <row r="146" spans="1:8" ht="20.100000000000001" customHeight="1">
      <c r="A146" s="41"/>
      <c r="B146" s="68"/>
      <c r="C146" s="69"/>
      <c r="D146" s="10">
        <v>2</v>
      </c>
      <c r="E146" s="10"/>
      <c r="F146" s="70"/>
      <c r="G146" s="71"/>
      <c r="H146" s="72"/>
    </row>
    <row r="147" spans="1:8" ht="20.100000000000001" customHeight="1" thickBot="1">
      <c r="A147" s="42"/>
      <c r="B147" s="73"/>
      <c r="C147" s="74"/>
      <c r="D147" s="11">
        <v>1</v>
      </c>
      <c r="E147" s="11"/>
      <c r="F147" s="75"/>
      <c r="G147" s="76"/>
      <c r="H147" s="77"/>
    </row>
    <row r="148" spans="1:8" ht="15" thickBot="1">
      <c r="C148" s="12" t="s">
        <v>51</v>
      </c>
      <c r="D148" s="15">
        <f>IF(COUNTA(D143:D147)=0,"",SUM(D143:D147))</f>
        <v>12</v>
      </c>
      <c r="E148" s="14" t="str">
        <f>IF(COUNTA(E143:E147)=0,"",SUM(E143:E147))</f>
        <v/>
      </c>
      <c r="F148" s="13"/>
      <c r="G148" s="29" t="s">
        <v>60</v>
      </c>
      <c r="H148" s="54" t="str">
        <f>IF(E148="","",IF(E148&gt;=MROUND(16*D148/20,1),"A",IF(E148&gt;=MROUND(12*D148/20,1),"B",IF(E148&gt;=MROUND(8*D148/20,1),"C","D"))))</f>
        <v/>
      </c>
    </row>
    <row r="149" spans="1:8">
      <c r="C149" s="12"/>
      <c r="D149" s="28"/>
      <c r="E149" s="27"/>
      <c r="F149" s="13"/>
      <c r="G149" s="26"/>
    </row>
    <row r="150" spans="1:8">
      <c r="C150" s="12"/>
      <c r="D150" s="28"/>
      <c r="E150" s="27"/>
      <c r="F150" s="13"/>
      <c r="G150" s="26"/>
    </row>
    <row r="151" spans="1:8">
      <c r="C151" s="12"/>
      <c r="D151" s="28"/>
      <c r="E151" s="27"/>
      <c r="F151" s="13"/>
      <c r="G151" s="26"/>
    </row>
    <row r="152" spans="1:8">
      <c r="C152" s="12"/>
      <c r="D152" s="28"/>
      <c r="E152" s="27"/>
      <c r="F152" s="13"/>
      <c r="G152" s="26"/>
    </row>
  </sheetData>
  <mergeCells count="150">
    <mergeCell ref="A90:A91"/>
    <mergeCell ref="A87:A89"/>
    <mergeCell ref="E26:G26"/>
    <mergeCell ref="E27:G27"/>
    <mergeCell ref="E28:G28"/>
    <mergeCell ref="E29:G29"/>
    <mergeCell ref="A32:H37"/>
    <mergeCell ref="E11:F11"/>
    <mergeCell ref="F52:H52"/>
    <mergeCell ref="F51:H51"/>
    <mergeCell ref="F50:H50"/>
    <mergeCell ref="F49:H49"/>
    <mergeCell ref="A4:B4"/>
    <mergeCell ref="A6:B6"/>
    <mergeCell ref="B57:C57"/>
    <mergeCell ref="B58:C58"/>
    <mergeCell ref="B26:D26"/>
    <mergeCell ref="A56:A59"/>
    <mergeCell ref="B49:C49"/>
    <mergeCell ref="B50:C50"/>
    <mergeCell ref="B51:C51"/>
    <mergeCell ref="B52:C52"/>
    <mergeCell ref="A45:A55"/>
    <mergeCell ref="C4:G4"/>
    <mergeCell ref="C6:G6"/>
    <mergeCell ref="F48:H48"/>
    <mergeCell ref="F53:H53"/>
    <mergeCell ref="B14:D14"/>
    <mergeCell ref="B15:D15"/>
    <mergeCell ref="B16:D16"/>
    <mergeCell ref="B17:D17"/>
    <mergeCell ref="F44:H44"/>
    <mergeCell ref="F45:H45"/>
    <mergeCell ref="B86:C86"/>
    <mergeCell ref="F86:H86"/>
    <mergeCell ref="B85:D85"/>
    <mergeCell ref="A80:H80"/>
    <mergeCell ref="D62:E62"/>
    <mergeCell ref="F62:G62"/>
    <mergeCell ref="B87:C87"/>
    <mergeCell ref="F87:H87"/>
    <mergeCell ref="A62:B62"/>
    <mergeCell ref="B44:C44"/>
    <mergeCell ref="B45:C45"/>
    <mergeCell ref="B104:C104"/>
    <mergeCell ref="F104:H104"/>
    <mergeCell ref="B105:C105"/>
    <mergeCell ref="F105:H105"/>
    <mergeCell ref="F88:H88"/>
    <mergeCell ref="B89:C89"/>
    <mergeCell ref="F89:H89"/>
    <mergeCell ref="B90:C90"/>
    <mergeCell ref="F90:H90"/>
    <mergeCell ref="B95:C95"/>
    <mergeCell ref="F95:H95"/>
    <mergeCell ref="B88:C88"/>
    <mergeCell ref="F54:H54"/>
    <mergeCell ref="F56:H56"/>
    <mergeCell ref="B98:C98"/>
    <mergeCell ref="F98:H98"/>
    <mergeCell ref="B99:C99"/>
    <mergeCell ref="F99:H99"/>
    <mergeCell ref="B100:C100"/>
    <mergeCell ref="F100:H100"/>
    <mergeCell ref="B103:D103"/>
    <mergeCell ref="F59:H59"/>
    <mergeCell ref="F96:H96"/>
    <mergeCell ref="B97:C97"/>
    <mergeCell ref="F97:H97"/>
    <mergeCell ref="B18:D18"/>
    <mergeCell ref="B19:D19"/>
    <mergeCell ref="B13:D13"/>
    <mergeCell ref="B9:C9"/>
    <mergeCell ref="B91:C91"/>
    <mergeCell ref="F91:H91"/>
    <mergeCell ref="A82:B82"/>
    <mergeCell ref="D82:E82"/>
    <mergeCell ref="F82:G82"/>
    <mergeCell ref="B46:C46"/>
    <mergeCell ref="B47:C47"/>
    <mergeCell ref="B48:C48"/>
    <mergeCell ref="B53:C53"/>
    <mergeCell ref="B59:C59"/>
    <mergeCell ref="B56:C56"/>
    <mergeCell ref="B54:C54"/>
    <mergeCell ref="B55:C55"/>
    <mergeCell ref="F55:H55"/>
    <mergeCell ref="F9:G9"/>
    <mergeCell ref="F46:H46"/>
    <mergeCell ref="F47:H47"/>
    <mergeCell ref="B128:C128"/>
    <mergeCell ref="F128:H128"/>
    <mergeCell ref="B124:C124"/>
    <mergeCell ref="F124:H124"/>
    <mergeCell ref="B125:C125"/>
    <mergeCell ref="F125:H125"/>
    <mergeCell ref="B27:D27"/>
    <mergeCell ref="B28:D28"/>
    <mergeCell ref="B29:D29"/>
    <mergeCell ref="A120:B120"/>
    <mergeCell ref="D120:E120"/>
    <mergeCell ref="F120:G120"/>
    <mergeCell ref="B123:D123"/>
    <mergeCell ref="B109:C109"/>
    <mergeCell ref="F109:H109"/>
    <mergeCell ref="B106:C106"/>
    <mergeCell ref="F106:H106"/>
    <mergeCell ref="B107:C107"/>
    <mergeCell ref="F107:H107"/>
    <mergeCell ref="B108:C108"/>
    <mergeCell ref="F108:H108"/>
    <mergeCell ref="A42:H42"/>
    <mergeCell ref="B94:D94"/>
    <mergeCell ref="B96:C96"/>
    <mergeCell ref="B145:C145"/>
    <mergeCell ref="F145:H145"/>
    <mergeCell ref="B146:C146"/>
    <mergeCell ref="F146:H146"/>
    <mergeCell ref="B147:C147"/>
    <mergeCell ref="F147:H147"/>
    <mergeCell ref="B142:C142"/>
    <mergeCell ref="F142:H142"/>
    <mergeCell ref="B143:C143"/>
    <mergeCell ref="F143:H143"/>
    <mergeCell ref="B144:C144"/>
    <mergeCell ref="F144:H144"/>
    <mergeCell ref="A96:A98"/>
    <mergeCell ref="A99:A100"/>
    <mergeCell ref="A105:A107"/>
    <mergeCell ref="A108:A109"/>
    <mergeCell ref="B137:C137"/>
    <mergeCell ref="F137:H137"/>
    <mergeCell ref="B138:C138"/>
    <mergeCell ref="F138:H138"/>
    <mergeCell ref="B141:D141"/>
    <mergeCell ref="B134:C134"/>
    <mergeCell ref="F134:H134"/>
    <mergeCell ref="B135:C135"/>
    <mergeCell ref="F135:H135"/>
    <mergeCell ref="B136:C136"/>
    <mergeCell ref="F136:H136"/>
    <mergeCell ref="B129:C129"/>
    <mergeCell ref="F129:H129"/>
    <mergeCell ref="B132:D132"/>
    <mergeCell ref="B133:C133"/>
    <mergeCell ref="F133:H133"/>
    <mergeCell ref="B126:C126"/>
    <mergeCell ref="F126:H126"/>
    <mergeCell ref="B127:C127"/>
    <mergeCell ref="F127:H127"/>
  </mergeCells>
  <pageMargins left="0.39370078740157483" right="0.39370078740157483" top="0.74803149606299213" bottom="0.74803149606299213" header="0.31496062992125984" footer="0.31496062992125984"/>
  <pageSetup paperSize="9" orientation="portrait" r:id="rId1"/>
  <headerFooter>
    <oddHeader>&amp;L&amp;G&amp;R&amp;"-,Gras"&amp;14
Grille d'évaluation
&amp;12Projet collaboratif</oddHeader>
    <oddFooter>&amp;L&amp;F&amp;R&amp;P/&amp;N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542CEBF0E8642A891C8E3D4F011F6" ma:contentTypeVersion="9" ma:contentTypeDescription="Crée un document." ma:contentTypeScope="" ma:versionID="8526535b4ee425606544ea6cd167ff82">
  <xsd:schema xmlns:xsd="http://www.w3.org/2001/XMLSchema" xmlns:xs="http://www.w3.org/2001/XMLSchema" xmlns:p="http://schemas.microsoft.com/office/2006/metadata/properties" xmlns:ns2="590c301c-9dee-40f2-86e9-48ed77b7dea7" targetNamespace="http://schemas.microsoft.com/office/2006/metadata/properties" ma:root="true" ma:fieldsID="b4c904aa36ac44d776834614d50917b5" ns2:_="">
    <xsd:import namespace="590c301c-9dee-40f2-86e9-48ed77b7d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c301c-9dee-40f2-86e9-48ed77b7d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a141cfe-7933-482d-bbb8-97c86f16e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0c301c-9dee-40f2-86e9-48ed77b7de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4CEEB-DDE8-4365-82B1-248FE77E530B}"/>
</file>

<file path=customXml/itemProps2.xml><?xml version="1.0" encoding="utf-8"?>
<ds:datastoreItem xmlns:ds="http://schemas.openxmlformats.org/officeDocument/2006/customXml" ds:itemID="{1E76921D-7F80-4F9E-80E2-845621D902FF}"/>
</file>

<file path=customXml/itemProps3.xml><?xml version="1.0" encoding="utf-8"?>
<ds:datastoreItem xmlns:ds="http://schemas.openxmlformats.org/officeDocument/2006/customXml" ds:itemID="{87F136A6-6280-484C-8056-1F98EBAA0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FACON Cédric</dc:creator>
  <cp:keywords/>
  <dc:description/>
  <cp:lastModifiedBy>VILQUIN NATHAN</cp:lastModifiedBy>
  <cp:revision/>
  <dcterms:created xsi:type="dcterms:W3CDTF">2020-02-01T09:20:16Z</dcterms:created>
  <dcterms:modified xsi:type="dcterms:W3CDTF">2025-10-21T14:25:33Z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0x010100446542CEBF0E8642A891C8E3D4F011F6</vt:lpwstr>
  </property>
  <property fmtid="{D5CDD505-2E9C-101B-9397-08002B2CF9AE}" pid="3" name="MediaServiceImageTags">
    <vt:lpwstr/>
  </property>
</Properties>
</file>